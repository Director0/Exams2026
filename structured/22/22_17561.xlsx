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<sst xmlns="http://schemas.openxmlformats.org/spreadsheetml/2006/main" count="20" uniqueCount="7">
  <si>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</si>
  <si>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</si>
  <si>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</si>
  <si>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Вр оконч А</t>
  </si>
  <si>
    <t xml:space="preserve">Вр оконч В</t>
  </si>
  <si>
    <t xml:space="preserve">Вр начала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</si>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</sst>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23" activeCellId="0" sqref="U23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5" style="0" width="11.17"/>
    <col collapsed="false" customWidth="true" hidden="false" outlineLevel="0" max="7" min="7" style="0" width="11.03"/>
    <col collapsed="false" customWidth="true" hidden="false" outlineLevel="0" max="8" min="8" style="0" width="13.76"/>
    <col collapsed="false" customWidth="true" hidden="false" outlineLevel="0" max="13" min="13" style="0" width="17.11"/>
    <col collapsed="false" customWidth="true" hidden="false" outlineLevel="0" max="14" min="14" style="0" width="15.72"/>
    <col collapsed="false" customWidth="true" hidden="false" outlineLevel="0" max="15" min="15" style="0" width="13.22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E1" s="0" t="s">
        <v>3</v>
      </c>
      <c r="F1" s="0" t="s">
        <v>3</v>
      </c>
      <c r="G1" s="0" t="s">
        <v>4</v>
      </c>
      <c r="H1" s="0" t="s">
        <v>5</v>
      </c>
      <c r="M1" s="0" t="s">
        <v>5</v>
      </c>
      <c r="N1" s="0" t="s">
        <v>4</v>
      </c>
    </row>
    <row r="2" customFormat="false" ht="15" hidden="false" customHeight="false" outlineLevel="0" collapsed="false">
      <c r="A2" s="2" t="n">
        <v>101</v>
      </c>
      <c r="B2" s="3" t="n">
        <v>14</v>
      </c>
      <c r="C2" s="2" t="n">
        <v>0</v>
      </c>
      <c r="D2" s="0" t="s">
        <v>6</v>
      </c>
      <c r="E2" s="0" t="n">
        <f aca="false">VLOOKUP(C2,$A:$G,7,0)</f>
        <v>0</v>
      </c>
      <c r="F2" s="0" t="n">
        <f aca="false">VLOOKUP(D2,$A:$G,7,0)</f>
        <v>0</v>
      </c>
      <c r="G2" s="0" t="n">
        <f aca="false">MAX(E2:F2) + B2</f>
        <v>14</v>
      </c>
      <c r="H2" s="0" t="n">
        <f aca="false"> G2 - B2</f>
        <v>0</v>
      </c>
      <c r="M2" s="0" t="n">
        <v>0</v>
      </c>
      <c r="N2" s="0" t="n">
        <v>14</v>
      </c>
      <c r="O2" s="0" t="n">
        <f aca="false">IF(AND( M2 &gt;=$R$2, N2 &lt;= $S$2), 1, "")</f>
        <v>1</v>
      </c>
      <c r="R2" s="0" t="n">
        <v>0</v>
      </c>
      <c r="S2" s="0" t="n">
        <v>16</v>
      </c>
    </row>
    <row r="3" customFormat="false" ht="15" hidden="false" customHeight="false" outlineLevel="0" collapsed="false">
      <c r="A3" s="2" t="n">
        <v>102</v>
      </c>
      <c r="B3" s="3" t="n">
        <v>3</v>
      </c>
      <c r="C3" s="2" t="n">
        <v>0</v>
      </c>
      <c r="D3" s="0" t="s">
        <v>6</v>
      </c>
      <c r="E3" s="0" t="n">
        <f aca="false">VLOOKUP(C3,$A:$G,7,0)</f>
        <v>0</v>
      </c>
      <c r="F3" s="0" t="n">
        <f aca="false">VLOOKUP(D3,$A:$G,7,0)</f>
        <v>0</v>
      </c>
      <c r="G3" s="0" t="n">
        <f aca="false">MAX(E3:F3) + B3</f>
        <v>3</v>
      </c>
      <c r="H3" s="0" t="n">
        <f aca="false"> G3 - B3</f>
        <v>0</v>
      </c>
      <c r="M3" s="0" t="n">
        <v>0</v>
      </c>
      <c r="N3" s="0" t="n">
        <v>3</v>
      </c>
      <c r="O3" s="0" t="n">
        <f aca="false">IF(AND( M3 &gt;=$R$2, N3 &lt;= $S$2), 1, "")</f>
        <v>1</v>
      </c>
    </row>
    <row r="4" customFormat="false" ht="15" hidden="false" customHeight="false" outlineLevel="0" collapsed="false">
      <c r="A4" s="2" t="n">
        <v>103</v>
      </c>
      <c r="B4" s="3" t="n">
        <v>1</v>
      </c>
      <c r="C4" s="2" t="n">
        <v>101</v>
      </c>
      <c r="D4" s="0" t="n">
        <v>102</v>
      </c>
      <c r="E4" s="0" t="n">
        <f aca="false">VLOOKUP(C4,$A:$G,7,0)</f>
        <v>14</v>
      </c>
      <c r="F4" s="0" t="n">
        <f aca="false">VLOOKUP(D4,$A:$G,7,0)</f>
        <v>3</v>
      </c>
      <c r="G4" s="0" t="n">
        <f aca="false">MAX(E4:F4) + B4</f>
        <v>15</v>
      </c>
      <c r="H4" s="0" t="n">
        <f aca="false"> G4 - B4</f>
        <v>14</v>
      </c>
      <c r="M4" s="0" t="n">
        <v>0</v>
      </c>
      <c r="N4" s="0" t="n">
        <v>8</v>
      </c>
      <c r="O4" s="0" t="n">
        <f aca="false">IF(AND( M4 &gt;=$R$2, N4 &lt;= $S$2), 1, "")</f>
        <v>1</v>
      </c>
    </row>
    <row r="5" customFormat="false" ht="15" hidden="false" customHeight="false" outlineLevel="0" collapsed="false">
      <c r="A5" s="2" t="n">
        <v>104</v>
      </c>
      <c r="B5" s="3" t="n">
        <v>11</v>
      </c>
      <c r="C5" s="2" t="n">
        <v>102</v>
      </c>
      <c r="D5" s="0" t="s">
        <v>6</v>
      </c>
      <c r="E5" s="0" t="n">
        <f aca="false">VLOOKUP(C5,$A:$G,7,0)</f>
        <v>3</v>
      </c>
      <c r="F5" s="0" t="n">
        <f aca="false">VLOOKUP(D5,$A:$G,7,0)</f>
        <v>0</v>
      </c>
      <c r="G5" s="0" t="n">
        <f aca="false">MAX(E5:F5) + B5</f>
        <v>14</v>
      </c>
      <c r="H5" s="0" t="n">
        <f aca="false"> G5 - B5</f>
        <v>3</v>
      </c>
      <c r="M5" s="0" t="n">
        <v>3</v>
      </c>
      <c r="N5" s="0" t="n">
        <v>14</v>
      </c>
      <c r="O5" s="0" t="n">
        <f aca="false">IF(AND( M5 &gt;=$R$2, N5 &lt;= $S$2), 1, "")</f>
        <v>1</v>
      </c>
    </row>
    <row r="6" customFormat="false" ht="15" hidden="false" customHeight="false" outlineLevel="0" collapsed="false">
      <c r="A6" s="2" t="n">
        <v>105</v>
      </c>
      <c r="B6" s="3" t="n">
        <v>13</v>
      </c>
      <c r="C6" s="2" t="n">
        <v>103</v>
      </c>
      <c r="D6" s="0" t="s">
        <v>6</v>
      </c>
      <c r="E6" s="0" t="n">
        <f aca="false">VLOOKUP(C6,$A:$G,7,0)</f>
        <v>15</v>
      </c>
      <c r="F6" s="0" t="n">
        <f aca="false">VLOOKUP(D6,$A:$G,7,0)</f>
        <v>0</v>
      </c>
      <c r="G6" s="0" t="n">
        <f aca="false">MAX(E6:F6) + B6</f>
        <v>28</v>
      </c>
      <c r="H6" s="0" t="n">
        <f aca="false"> G6 - B6</f>
        <v>15</v>
      </c>
      <c r="M6" s="0" t="n">
        <v>8</v>
      </c>
      <c r="N6" s="0" t="n">
        <v>18</v>
      </c>
      <c r="O6" s="0" t="str">
        <f aca="false">IF(AND( M6 &gt;=$R$2, N6 &lt;= $S$2), 1, "")</f>
        <v/>
      </c>
    </row>
    <row r="7" customFormat="false" ht="15" hidden="false" customHeight="false" outlineLevel="0" collapsed="false">
      <c r="A7" s="2" t="n">
        <v>106</v>
      </c>
      <c r="B7" s="3" t="n">
        <v>5</v>
      </c>
      <c r="C7" s="2" t="n">
        <v>103</v>
      </c>
      <c r="D7" s="0" t="s">
        <v>6</v>
      </c>
      <c r="E7" s="0" t="n">
        <f aca="false">VLOOKUP(C7,$A:$G,7,0)</f>
        <v>15</v>
      </c>
      <c r="F7" s="0" t="n">
        <f aca="false">VLOOKUP(D7,$A:$G,7,0)</f>
        <v>0</v>
      </c>
      <c r="G7" s="0" t="n">
        <f aca="false">MAX(E7:F7) + B7</f>
        <v>20</v>
      </c>
      <c r="H7" s="0" t="n">
        <f aca="false"> G7 - B7</f>
        <v>15</v>
      </c>
      <c r="M7" s="0" t="n">
        <v>8</v>
      </c>
      <c r="N7" s="0" t="n">
        <v>16</v>
      </c>
      <c r="O7" s="0" t="n">
        <f aca="false">IF(AND( M7 &gt;=$R$2, N7 &lt;= $S$2), 1, "")</f>
        <v>1</v>
      </c>
    </row>
    <row r="8" customFormat="false" ht="15" hidden="false" customHeight="false" outlineLevel="0" collapsed="false">
      <c r="A8" s="2" t="n">
        <v>107</v>
      </c>
      <c r="B8" s="3" t="n">
        <v>7</v>
      </c>
      <c r="C8" s="2" t="n">
        <v>106</v>
      </c>
      <c r="D8" s="0" t="s">
        <v>6</v>
      </c>
      <c r="E8" s="0" t="n">
        <f aca="false">VLOOKUP(C8,$A:$G,7,0)</f>
        <v>20</v>
      </c>
      <c r="F8" s="0" t="n">
        <f aca="false">VLOOKUP(D8,$A:$G,7,0)</f>
        <v>0</v>
      </c>
      <c r="G8" s="0" t="n">
        <f aca="false">MAX(E8:F8) + B8</f>
        <v>27</v>
      </c>
      <c r="H8" s="0" t="n">
        <f aca="false"> G8 - B8</f>
        <v>20</v>
      </c>
      <c r="M8" s="0" t="n">
        <v>14</v>
      </c>
      <c r="N8" s="0" t="n">
        <v>15</v>
      </c>
      <c r="O8" s="0" t="n">
        <f aca="false">IF(AND( M8 &gt;=$R$2, N8 &lt;= $S$2), 1, "")</f>
        <v>1</v>
      </c>
    </row>
    <row r="9" customFormat="false" ht="15" hidden="false" customHeight="false" outlineLevel="0" collapsed="false">
      <c r="A9" s="2" t="n">
        <v>108</v>
      </c>
      <c r="B9" s="3" t="n">
        <v>1</v>
      </c>
      <c r="C9" s="2" t="n">
        <v>105</v>
      </c>
      <c r="D9" s="0" t="n">
        <v>107</v>
      </c>
      <c r="E9" s="0" t="n">
        <f aca="false">VLOOKUP(C9,$A:$G,7,0)</f>
        <v>28</v>
      </c>
      <c r="F9" s="0" t="n">
        <f aca="false">VLOOKUP(D9,$A:$G,7,0)</f>
        <v>27</v>
      </c>
      <c r="G9" s="0" t="n">
        <f aca="false">MAX(E9:F9) + B9</f>
        <v>29</v>
      </c>
      <c r="H9" s="0" t="n">
        <f aca="false"> G9 - B9</f>
        <v>28</v>
      </c>
      <c r="M9" s="0" t="n">
        <v>15</v>
      </c>
      <c r="N9" s="0" t="n">
        <v>28</v>
      </c>
      <c r="O9" s="0" t="str">
        <f aca="false">IF(AND( M9 &gt;=$R$2, N9 &lt;= $S$2), 1, "")</f>
        <v/>
      </c>
    </row>
    <row r="10" customFormat="false" ht="15" hidden="false" customHeight="false" outlineLevel="0" collapsed="false">
      <c r="A10" s="2" t="n">
        <v>109</v>
      </c>
      <c r="B10" s="3" t="n">
        <v>2</v>
      </c>
      <c r="C10" s="2" t="n">
        <v>108</v>
      </c>
      <c r="D10" s="0" t="s">
        <v>6</v>
      </c>
      <c r="E10" s="0" t="n">
        <f aca="false">VLOOKUP(C10,$A:$G,7,0)</f>
        <v>29</v>
      </c>
      <c r="F10" s="0" t="n">
        <f aca="false">VLOOKUP(D10,$A:$G,7,0)</f>
        <v>0</v>
      </c>
      <c r="G10" s="0" t="n">
        <f aca="false">MAX(E10:F10) + B10</f>
        <v>31</v>
      </c>
      <c r="H10" s="0" t="n">
        <f aca="false"> G10 - B10</f>
        <v>29</v>
      </c>
      <c r="M10" s="0" t="n">
        <v>15</v>
      </c>
      <c r="N10" s="0" t="n">
        <v>20</v>
      </c>
      <c r="O10" s="0" t="str">
        <f aca="false">IF(AND( M10 &gt;=$R$2, N10 &lt;= $S$2), 1, "")</f>
        <v/>
      </c>
    </row>
    <row r="11" customFormat="false" ht="15" hidden="false" customHeight="false" outlineLevel="0" collapsed="false">
      <c r="A11" s="2" t="n">
        <v>110</v>
      </c>
      <c r="B11" s="3" t="n">
        <v>8</v>
      </c>
      <c r="C11" s="2" t="n">
        <v>0</v>
      </c>
      <c r="D11" s="0" t="s">
        <v>6</v>
      </c>
      <c r="E11" s="0" t="n">
        <f aca="false">VLOOKUP(C11,$A:$G,7,0)</f>
        <v>0</v>
      </c>
      <c r="F11" s="0" t="n">
        <f aca="false">VLOOKUP(D11,$A:$G,7,0)</f>
        <v>0</v>
      </c>
      <c r="G11" s="0" t="n">
        <f aca="false">MAX(E11:F11) + B11</f>
        <v>8</v>
      </c>
      <c r="H11" s="0" t="n">
        <f aca="false"> G11 - B11</f>
        <v>0</v>
      </c>
      <c r="M11" s="0" t="n">
        <v>16</v>
      </c>
      <c r="N11" s="0" t="n">
        <v>30</v>
      </c>
      <c r="O11" s="0" t="str">
        <f aca="false">IF(AND( M11 &gt;=$R$2, N11 &lt;= $S$2), 1, "")</f>
        <v/>
      </c>
      <c r="S11" s="4" t="n">
        <f aca="false">COUNT(O2:O14)</f>
        <v>6</v>
      </c>
    </row>
    <row r="12" customFormat="false" ht="15" hidden="false" customHeight="false" outlineLevel="0" collapsed="false">
      <c r="A12" s="2" t="n">
        <v>111</v>
      </c>
      <c r="B12" s="3" t="n">
        <v>10</v>
      </c>
      <c r="C12" s="2" t="n">
        <v>110</v>
      </c>
      <c r="D12" s="0" t="s">
        <v>6</v>
      </c>
      <c r="E12" s="0" t="n">
        <f aca="false">VLOOKUP(C12,$A:$G,7,0)</f>
        <v>8</v>
      </c>
      <c r="F12" s="0" t="n">
        <f aca="false">VLOOKUP(D12,$A:$G,7,0)</f>
        <v>0</v>
      </c>
      <c r="G12" s="0" t="n">
        <f aca="false">MAX(E12:F12) + B12</f>
        <v>18</v>
      </c>
      <c r="H12" s="0" t="n">
        <f aca="false"> G12 - B12</f>
        <v>8</v>
      </c>
      <c r="M12" s="0" t="n">
        <v>20</v>
      </c>
      <c r="N12" s="0" t="n">
        <v>27</v>
      </c>
      <c r="O12" s="0" t="str">
        <f aca="false">IF(AND( M12 &gt;=$R$2, N12 &lt;= $S$2), 1, "")</f>
        <v/>
      </c>
    </row>
    <row r="13" customFormat="false" ht="15" hidden="false" customHeight="false" outlineLevel="0" collapsed="false">
      <c r="A13" s="2" t="n">
        <v>112</v>
      </c>
      <c r="B13" s="3" t="n">
        <v>8</v>
      </c>
      <c r="C13" s="2" t="n">
        <v>110</v>
      </c>
      <c r="D13" s="0" t="s">
        <v>6</v>
      </c>
      <c r="E13" s="0" t="n">
        <f aca="false">VLOOKUP(C13,$A:$G,7,0)</f>
        <v>8</v>
      </c>
      <c r="F13" s="0" t="n">
        <f aca="false">VLOOKUP(D13,$A:$G,7,0)</f>
        <v>0</v>
      </c>
      <c r="G13" s="0" t="n">
        <f aca="false">MAX(E13:F13) + B13</f>
        <v>16</v>
      </c>
      <c r="H13" s="0" t="n">
        <f aca="false"> G13 - B13</f>
        <v>8</v>
      </c>
      <c r="M13" s="0" t="n">
        <v>28</v>
      </c>
      <c r="N13" s="0" t="n">
        <v>29</v>
      </c>
      <c r="O13" s="0" t="str">
        <f aca="false">IF(AND( M13 &gt;=$R$2, N13 &lt;= $S$2), 1, "")</f>
        <v/>
      </c>
    </row>
    <row r="14" customFormat="false" ht="15" hidden="false" customHeight="false" outlineLevel="0" collapsed="false">
      <c r="A14" s="2" t="n">
        <v>113</v>
      </c>
      <c r="B14" s="3" t="n">
        <v>14</v>
      </c>
      <c r="C14" s="2" t="n">
        <v>112</v>
      </c>
      <c r="D14" s="0" t="s">
        <v>6</v>
      </c>
      <c r="E14" s="0" t="n">
        <f aca="false">VLOOKUP(C14,$A:$G,7,0)</f>
        <v>16</v>
      </c>
      <c r="F14" s="0" t="n">
        <f aca="false">VLOOKUP(D14,$A:$G,7,0)</f>
        <v>0</v>
      </c>
      <c r="G14" s="0" t="n">
        <f aca="false">MAX(E14:F14) + B14</f>
        <v>30</v>
      </c>
      <c r="H14" s="0" t="n">
        <f aca="false"> G14 - B14</f>
        <v>16</v>
      </c>
      <c r="M14" s="0" t="n">
        <v>29</v>
      </c>
      <c r="N14" s="0" t="n">
        <v>31</v>
      </c>
      <c r="O14" s="0" t="str">
        <f aca="false">IF(AND( M14 &gt;=$R$2, N14 &lt;= $S$2), 1, "")</f>
        <v/>
      </c>
    </row>
    <row r="15" customFormat="false" ht="15" hidden="false" customHeight="false" outlineLevel="0" collapsed="false">
      <c r="A15" s="0" t="n">
        <v>0</v>
      </c>
      <c r="G1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2025-11-02T12:25:00Z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