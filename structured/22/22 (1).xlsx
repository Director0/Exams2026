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definedNames>
    <definedName function="false" hidden="false" localSheetId="0" name="z22_105" vbProcedure="false">Лист1!$D$2:$F$27</definedName>
    <definedName function="false" hidden="false" localSheetId="0" name="z22_106" vbProcedure="false">лист1!#REF!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keepAlive="0" interval="0" name="z22-102" type="6" reconnectionMethod="1" refreshedVersion="3" minRefreshableVersion="0" savePassword="0" new="0" deleted="0" onlyUseConnectionFile="0" background="1" refreshOnLoad="0" saveData="1">
    <textPr codePage="866" sourceFile="Z:\Для экспертов\ЕГЭ_2025\Первый день\2508\z22-102.txt" decimal="," thousands=" " space="1" consecutive="1">
      <textFields count="3">
        <textField/>
        <textField/>
        <textField/>
      </textFields>
    </textPr>
  </connection>
  <connection id="2" keepAlive="0" interval="0" name="z22-103" type="6" reconnectionMethod="1" refreshedVersion="3" minRefreshableVersion="0" savePassword="0" new="0" deleted="0" onlyUseConnectionFile="0" background="1" refreshOnLoad="0" saveData="0">
    <textPr codePage="866" sourceFile="Z:\Для экспертов\ЕГЭ_2025\Первый день\2509\z22-103.txt" decimal="," thousands=" " space="1" consecutive="1">
      <textFields count="3">
        <textField/>
        <textField/>
        <textField/>
      </textFields>
    </textPr>
  </connection>
  <connection id="3" keepAlive="0" interval="0" name="z22-105" type="6" reconnectionMethod="1" refreshedVersion="3" minRefreshableVersion="0" savePassword="0" new="0" deleted="0" onlyUseConnectionFile="0" background="1" refreshOnLoad="0" saveData="1">
    <textPr codePage="866" sourceFile="Z:\Для экспертов\ЕГЭ_2025\Первый день\2511\z22-105.txt" decimal="," thousands=" " space="1" consecutive="1">
      <textFields count="3">
        <textField/>
        <textField/>
        <textField/>
      </textFields>
    </textPr>
  </connection>
  <connection id="4" keepAlive="0" interval="0" name="z22-106" type="6" reconnectionMethod="1" refreshedVersion="3" minRefreshableVersion="0" savePassword="0" new="0" deleted="0" onlyUseConnectionFile="0" background="1" refreshOnLoad="0" saveData="0">
    <textPr codePage="866" sourceFile="Z:\Для экспертов\ЕГЭ_2025\Первый день\2512\z22-106.txt" decimal="," thousands=" " space="1" consecutive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<sst xmlns="http://schemas.openxmlformats.org/spreadsheetml/2006/main" count="23" uniqueCount="7">
  <si>
    <t xml:space="preserve">ID процесса B</t>
  </si>
  <si>
    <t xml:space="preserve">Время выполнения процесса B (мс)</t>
  </si>
  <si>
    <t xml:space="preserve">ID процессов A</t>
  </si>
  <si>
    <t xml:space="preserve">ВОП А</t>
  </si>
  <si>
    <t xml:space="preserve">ВОП В</t>
  </si>
  <si>
    <t xml:space="preserve">ВНП В</t>
  </si>
  <si>
    <t xml:space="preserve">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</si>
</sst>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onnections" Target="connection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W42" activeCellId="0" sqref="W4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6.14"/>
    <col collapsed="false" customWidth="true" hidden="false" outlineLevel="0" max="5" min="4" style="0" width="9.57"/>
    <col collapsed="false" customWidth="true" hidden="false" outlineLevel="0" max="6" min="6" style="0" width="9.71"/>
  </cols>
  <sheetData>
    <row r="1" customFormat="false" ht="46.25" hidden="false" customHeight="false" outlineLevel="0" collapsed="false">
      <c r="A1" s="1" t="s">
        <v>0</v>
      </c>
      <c r="B1" s="1" t="s">
        <v>1</v>
      </c>
      <c r="C1" s="1" t="s">
        <v>2</v>
      </c>
      <c r="E1" s="0" t="s">
        <v>3</v>
      </c>
      <c r="F1" s="0" t="s">
        <v>3</v>
      </c>
      <c r="G1" s="0" t="s">
        <v>4</v>
      </c>
      <c r="H1" s="0" t="s">
        <v>5</v>
      </c>
      <c r="O1" s="0" t="s">
        <v>5</v>
      </c>
      <c r="P1" s="0" t="s">
        <v>4</v>
      </c>
    </row>
    <row r="2" customFormat="false" ht="15" hidden="false" customHeight="false" outlineLevel="0" collapsed="false">
      <c r="A2" s="0" t="n">
        <v>101</v>
      </c>
      <c r="B2" s="0" t="n">
        <v>5</v>
      </c>
      <c r="C2" s="2" t="n">
        <v>107</v>
      </c>
      <c r="D2" s="0" t="s">
        <v>6</v>
      </c>
      <c r="E2" s="0" t="n">
        <f aca="false">VLOOKUP(C2,$A:$G,7,0)</f>
        <v>13</v>
      </c>
      <c r="F2" s="0" t="n">
        <f aca="false">VLOOKUP(D2,$A:$G,7,0)</f>
        <v>0</v>
      </c>
      <c r="G2" s="0" t="n">
        <f aca="false">MAX(E2:F2) + B2</f>
        <v>18</v>
      </c>
      <c r="H2" s="0" t="n">
        <f aca="false">G2 - B2</f>
        <v>13</v>
      </c>
      <c r="O2" s="0" t="n">
        <v>13</v>
      </c>
      <c r="P2" s="0" t="n">
        <v>18</v>
      </c>
      <c r="Q2" s="0" t="n">
        <f aca="false">IF(AND(O2 &lt; 15, P2 &gt;= 15),1,"")</f>
        <v>1</v>
      </c>
    </row>
    <row r="3" customFormat="false" ht="15" hidden="false" customHeight="false" outlineLevel="0" collapsed="false">
      <c r="A3" s="0" t="n">
        <v>102</v>
      </c>
      <c r="B3" s="0" t="n">
        <v>5</v>
      </c>
      <c r="C3" s="2" t="n">
        <v>106</v>
      </c>
      <c r="D3" s="0" t="n">
        <v>107</v>
      </c>
      <c r="E3" s="0" t="n">
        <f aca="false">VLOOKUP(C3,$A:$G,7,0)</f>
        <v>12</v>
      </c>
      <c r="F3" s="0" t="n">
        <f aca="false">VLOOKUP(D3,$A:$G,7,0)</f>
        <v>13</v>
      </c>
      <c r="G3" s="0" t="n">
        <f aca="false">MAX(E3:F3) + B3</f>
        <v>18</v>
      </c>
      <c r="H3" s="0" t="n">
        <f aca="false">G3 - B3</f>
        <v>13</v>
      </c>
      <c r="O3" s="0" t="n">
        <v>13</v>
      </c>
      <c r="P3" s="0" t="n">
        <v>18</v>
      </c>
      <c r="Q3" s="0" t="n">
        <f aca="false">IF(AND(O3 &lt; 15, P3 &gt;= 15),1,"")</f>
        <v>1</v>
      </c>
    </row>
    <row r="4" customFormat="false" ht="15" hidden="false" customHeight="false" outlineLevel="0" collapsed="false">
      <c r="A4" s="0" t="n">
        <v>103</v>
      </c>
      <c r="B4" s="0" t="n">
        <v>4</v>
      </c>
      <c r="C4" s="2" t="n">
        <v>0</v>
      </c>
      <c r="D4" s="0" t="s">
        <v>6</v>
      </c>
      <c r="E4" s="0" t="n">
        <f aca="false">VLOOKUP(C4,$A:$G,7,0)</f>
        <v>0</v>
      </c>
      <c r="F4" s="0" t="n">
        <f aca="false">VLOOKUP(D4,$A:$G,7,0)</f>
        <v>0</v>
      </c>
      <c r="G4" s="0" t="n">
        <f aca="false">MAX(E4:F4) + B4</f>
        <v>4</v>
      </c>
      <c r="H4" s="0" t="n">
        <f aca="false">G4 - B4</f>
        <v>0</v>
      </c>
      <c r="O4" s="0" t="n">
        <v>0</v>
      </c>
      <c r="P4" s="0" t="n">
        <v>4</v>
      </c>
      <c r="Q4" s="0" t="str">
        <f aca="false">IF(AND(O4 &lt; 15, P4 &gt;= 15),1,"")</f>
        <v/>
      </c>
    </row>
    <row r="5" customFormat="false" ht="15" hidden="false" customHeight="false" outlineLevel="0" collapsed="false">
      <c r="A5" s="0" t="n">
        <v>104</v>
      </c>
      <c r="B5" s="0" t="n">
        <v>5</v>
      </c>
      <c r="C5" s="2" t="n">
        <v>122</v>
      </c>
      <c r="D5" s="0" t="s">
        <v>6</v>
      </c>
      <c r="E5" s="0" t="n">
        <f aca="false">VLOOKUP(C5,$A:$G,7,0)</f>
        <v>16</v>
      </c>
      <c r="F5" s="0" t="n">
        <f aca="false">VLOOKUP(D5,$A:$G,7,0)</f>
        <v>0</v>
      </c>
      <c r="G5" s="0" t="n">
        <f aca="false">MAX(E5:F5) + B5</f>
        <v>21</v>
      </c>
      <c r="H5" s="0" t="n">
        <f aca="false">G5 - B5</f>
        <v>16</v>
      </c>
      <c r="O5" s="0" t="n">
        <v>16</v>
      </c>
      <c r="P5" s="0" t="n">
        <v>21</v>
      </c>
      <c r="Q5" s="0" t="str">
        <f aca="false">IF(AND(O5 &lt; 15, P5 &gt;= 15),1,"")</f>
        <v/>
      </c>
    </row>
    <row r="6" customFormat="false" ht="15" hidden="false" customHeight="false" outlineLevel="0" collapsed="false">
      <c r="A6" s="0" t="n">
        <v>105</v>
      </c>
      <c r="B6" s="0" t="n">
        <v>4</v>
      </c>
      <c r="C6" s="2" t="n">
        <v>115</v>
      </c>
      <c r="D6" s="0" t="s">
        <v>6</v>
      </c>
      <c r="E6" s="0" t="n">
        <f aca="false">VLOOKUP(C6,$A:$G,7,0)</f>
        <v>21</v>
      </c>
      <c r="F6" s="0" t="n">
        <f aca="false">VLOOKUP(D6,$A:$G,7,0)</f>
        <v>0</v>
      </c>
      <c r="G6" s="0" t="n">
        <f aca="false">MAX(E6:F6) + B6</f>
        <v>25</v>
      </c>
      <c r="H6" s="0" t="n">
        <f aca="false">G6 - B6</f>
        <v>21</v>
      </c>
      <c r="O6" s="0" t="n">
        <v>21</v>
      </c>
      <c r="P6" s="0" t="n">
        <v>25</v>
      </c>
      <c r="Q6" s="0" t="str">
        <f aca="false">IF(AND(O6 &lt; 15, P6 &gt;= 15),1,"")</f>
        <v/>
      </c>
    </row>
    <row r="7" customFormat="false" ht="15" hidden="false" customHeight="false" outlineLevel="0" collapsed="false">
      <c r="A7" s="0" t="n">
        <v>106</v>
      </c>
      <c r="B7" s="0" t="n">
        <v>6</v>
      </c>
      <c r="C7" s="2" t="n">
        <v>113</v>
      </c>
      <c r="D7" s="0" t="n">
        <v>117</v>
      </c>
      <c r="E7" s="0" t="n">
        <f aca="false">VLOOKUP(C7,$A:$G,7,0)</f>
        <v>4</v>
      </c>
      <c r="F7" s="0" t="n">
        <f aca="false">VLOOKUP(D7,$A:$G,7,0)</f>
        <v>6</v>
      </c>
      <c r="G7" s="0" t="n">
        <f aca="false">MAX(E7:F7) + B7</f>
        <v>12</v>
      </c>
      <c r="H7" s="0" t="n">
        <f aca="false">G7 - B7</f>
        <v>6</v>
      </c>
      <c r="O7" s="0" t="n">
        <v>6</v>
      </c>
      <c r="P7" s="0" t="n">
        <v>12</v>
      </c>
      <c r="Q7" s="0" t="str">
        <f aca="false">IF(AND(O7 &lt; 15, P7 &gt;= 15),1,"")</f>
        <v/>
      </c>
    </row>
    <row r="8" customFormat="false" ht="15" hidden="false" customHeight="false" outlineLevel="0" collapsed="false">
      <c r="A8" s="0" t="n">
        <v>107</v>
      </c>
      <c r="B8" s="0" t="n">
        <v>1</v>
      </c>
      <c r="C8" s="2" t="n">
        <v>117</v>
      </c>
      <c r="D8" s="0" t="n">
        <v>106</v>
      </c>
      <c r="E8" s="0" t="n">
        <f aca="false">VLOOKUP(C8,$A:$G,7,0)</f>
        <v>6</v>
      </c>
      <c r="F8" s="0" t="n">
        <f aca="false">VLOOKUP(D8,$A:$G,7,0)</f>
        <v>12</v>
      </c>
      <c r="G8" s="0" t="n">
        <f aca="false">MAX(E8:F8) + B8</f>
        <v>13</v>
      </c>
      <c r="H8" s="0" t="n">
        <f aca="false">G8 - B8</f>
        <v>12</v>
      </c>
      <c r="O8" s="0" t="n">
        <v>12</v>
      </c>
      <c r="P8" s="0" t="n">
        <v>13</v>
      </c>
      <c r="Q8" s="0" t="str">
        <f aca="false">IF(AND(O8 &lt; 15, P8 &gt;= 15),1,"")</f>
        <v/>
      </c>
    </row>
    <row r="9" customFormat="false" ht="15" hidden="false" customHeight="false" outlineLevel="0" collapsed="false">
      <c r="A9" s="0" t="n">
        <v>108</v>
      </c>
      <c r="B9" s="0" t="n">
        <v>6</v>
      </c>
      <c r="C9" s="2" t="n">
        <v>103</v>
      </c>
      <c r="D9" s="0" t="n">
        <v>107</v>
      </c>
      <c r="E9" s="0" t="n">
        <f aca="false">VLOOKUP(C9,$A:$G,7,0)</f>
        <v>4</v>
      </c>
      <c r="F9" s="0" t="n">
        <f aca="false">VLOOKUP(D9,$A:$G,7,0)</f>
        <v>13</v>
      </c>
      <c r="G9" s="0" t="n">
        <f aca="false">MAX(E9:F9) + B9</f>
        <v>19</v>
      </c>
      <c r="H9" s="0" t="n">
        <f aca="false">G9 - B9</f>
        <v>13</v>
      </c>
      <c r="O9" s="0" t="n">
        <v>13</v>
      </c>
      <c r="P9" s="0" t="n">
        <v>19</v>
      </c>
      <c r="Q9" s="0" t="n">
        <f aca="false">IF(AND(O9 &lt; 15, P9 &gt;= 15),1,"")</f>
        <v>1</v>
      </c>
    </row>
    <row r="10" customFormat="false" ht="15" hidden="false" customHeight="false" outlineLevel="0" collapsed="false">
      <c r="A10" s="0" t="n">
        <v>109</v>
      </c>
      <c r="B10" s="0" t="n">
        <v>2</v>
      </c>
      <c r="C10" s="2" t="n">
        <v>121</v>
      </c>
      <c r="D10" s="0" t="s">
        <v>6</v>
      </c>
      <c r="E10" s="0" t="n">
        <f aca="false">VLOOKUP(C10,$A:$G,7,0)</f>
        <v>24</v>
      </c>
      <c r="F10" s="0" t="n">
        <f aca="false">VLOOKUP(D10,$A:$G,7,0)</f>
        <v>0</v>
      </c>
      <c r="G10" s="0" t="n">
        <f aca="false">MAX(E10:F10) + B10</f>
        <v>26</v>
      </c>
      <c r="H10" s="0" t="n">
        <f aca="false">G10 - B10</f>
        <v>24</v>
      </c>
      <c r="O10" s="0" t="n">
        <v>24</v>
      </c>
      <c r="P10" s="0" t="n">
        <v>26</v>
      </c>
      <c r="Q10" s="0" t="str">
        <f aca="false">IF(AND(O10 &lt; 15, P10 &gt;= 15),1,"")</f>
        <v/>
      </c>
    </row>
    <row r="11" customFormat="false" ht="15" hidden="false" customHeight="false" outlineLevel="0" collapsed="false">
      <c r="A11" s="0" t="n">
        <v>110</v>
      </c>
      <c r="B11" s="0" t="n">
        <v>5</v>
      </c>
      <c r="C11" s="2" t="n">
        <v>104</v>
      </c>
      <c r="D11" s="0" t="s">
        <v>6</v>
      </c>
      <c r="E11" s="0" t="n">
        <f aca="false">VLOOKUP(C11,$A:$G,7,0)</f>
        <v>21</v>
      </c>
      <c r="F11" s="0" t="n">
        <f aca="false">VLOOKUP(D11,$A:$G,7,0)</f>
        <v>0</v>
      </c>
      <c r="G11" s="0" t="n">
        <f aca="false">MAX(E11:F11) + B11</f>
        <v>26</v>
      </c>
      <c r="H11" s="0" t="n">
        <f aca="false">G11 - B11</f>
        <v>21</v>
      </c>
      <c r="O11" s="0" t="n">
        <v>21</v>
      </c>
      <c r="P11" s="0" t="n">
        <v>26</v>
      </c>
      <c r="Q11" s="0" t="str">
        <f aca="false">IF(AND(O11 &lt; 15, P11 &gt;= 15),1,"")</f>
        <v/>
      </c>
      <c r="S11" s="3" t="n">
        <f aca="false">COUNT(Q:Q)</f>
        <v>5</v>
      </c>
    </row>
    <row r="12" customFormat="false" ht="15" hidden="false" customHeight="false" outlineLevel="0" collapsed="false">
      <c r="A12" s="0" t="n">
        <v>111</v>
      </c>
      <c r="B12" s="0" t="n">
        <v>4</v>
      </c>
      <c r="C12" s="2" t="n">
        <v>118</v>
      </c>
      <c r="D12" s="0" t="s">
        <v>6</v>
      </c>
      <c r="E12" s="0" t="n">
        <f aca="false">VLOOKUP(C12,$A:$G,7,0)</f>
        <v>15</v>
      </c>
      <c r="F12" s="0" t="n">
        <f aca="false">VLOOKUP(D12,$A:$G,7,0)</f>
        <v>0</v>
      </c>
      <c r="G12" s="0" t="n">
        <f aca="false">MAX(E12:F12) + B12</f>
        <v>19</v>
      </c>
      <c r="H12" s="0" t="n">
        <f aca="false">G12 - B12</f>
        <v>15</v>
      </c>
      <c r="O12" s="0" t="n">
        <v>15</v>
      </c>
      <c r="P12" s="0" t="n">
        <v>19</v>
      </c>
      <c r="Q12" s="0" t="str">
        <f aca="false">IF(AND(O12 &lt; 15, P12 &gt;= 15),1,"")</f>
        <v/>
      </c>
    </row>
    <row r="13" customFormat="false" ht="15" hidden="false" customHeight="false" outlineLevel="0" collapsed="false">
      <c r="A13" s="0" t="n">
        <v>112</v>
      </c>
      <c r="B13" s="0" t="n">
        <v>3</v>
      </c>
      <c r="C13" s="2" t="n">
        <v>113</v>
      </c>
      <c r="D13" s="0" t="s">
        <v>6</v>
      </c>
      <c r="E13" s="0" t="n">
        <f aca="false">VLOOKUP(C13,$A:$G,7,0)</f>
        <v>4</v>
      </c>
      <c r="F13" s="0" t="n">
        <f aca="false">VLOOKUP(D13,$A:$G,7,0)</f>
        <v>0</v>
      </c>
      <c r="G13" s="0" t="n">
        <f aca="false">MAX(E13:F13) + B13</f>
        <v>7</v>
      </c>
      <c r="H13" s="0" t="n">
        <f aca="false">G13 - B13</f>
        <v>4</v>
      </c>
      <c r="O13" s="0" t="n">
        <v>4</v>
      </c>
      <c r="P13" s="0" t="n">
        <v>7</v>
      </c>
      <c r="Q13" s="0" t="str">
        <f aca="false">IF(AND(O13 &lt; 15, P13 &gt;= 15),1,"")</f>
        <v/>
      </c>
    </row>
    <row r="14" customFormat="false" ht="15" hidden="false" customHeight="false" outlineLevel="0" collapsed="false">
      <c r="A14" s="0" t="n">
        <v>113</v>
      </c>
      <c r="B14" s="0" t="n">
        <v>4</v>
      </c>
      <c r="C14" s="2" t="n">
        <v>0</v>
      </c>
      <c r="D14" s="0" t="s">
        <v>6</v>
      </c>
      <c r="E14" s="0" t="n">
        <f aca="false">VLOOKUP(C14,$A:$G,7,0)</f>
        <v>0</v>
      </c>
      <c r="F14" s="0" t="n">
        <f aca="false">VLOOKUP(D14,$A:$G,7,0)</f>
        <v>0</v>
      </c>
      <c r="G14" s="0" t="n">
        <f aca="false">MAX(E14:F14) + B14</f>
        <v>4</v>
      </c>
      <c r="H14" s="0" t="n">
        <f aca="false">G14 - B14</f>
        <v>0</v>
      </c>
      <c r="O14" s="0" t="n">
        <v>0</v>
      </c>
      <c r="P14" s="0" t="n">
        <v>4</v>
      </c>
      <c r="Q14" s="0" t="str">
        <f aca="false">IF(AND(O14 &lt; 15, P14 &gt;= 15),1,"")</f>
        <v/>
      </c>
    </row>
    <row r="15" customFormat="false" ht="15" hidden="false" customHeight="false" outlineLevel="0" collapsed="false">
      <c r="A15" s="0" t="n">
        <v>114</v>
      </c>
      <c r="B15" s="0" t="n">
        <v>3</v>
      </c>
      <c r="C15" s="2" t="n">
        <v>124</v>
      </c>
      <c r="D15" s="0" t="n">
        <v>110</v>
      </c>
      <c r="E15" s="0" t="n">
        <f aca="false">VLOOKUP(C15,$A:$G,7,0)</f>
        <v>18</v>
      </c>
      <c r="F15" s="0" t="n">
        <f aca="false">VLOOKUP(D15,$A:$G,7,0)</f>
        <v>26</v>
      </c>
      <c r="G15" s="0" t="n">
        <f aca="false">MAX(E15:F15) + B15</f>
        <v>29</v>
      </c>
      <c r="H15" s="0" t="n">
        <f aca="false">G15 - B15</f>
        <v>26</v>
      </c>
      <c r="O15" s="0" t="n">
        <v>26</v>
      </c>
      <c r="P15" s="0" t="n">
        <v>29</v>
      </c>
      <c r="Q15" s="0" t="str">
        <f aca="false">IF(AND(O15 &lt; 15, P15 &gt;= 15),1,"")</f>
        <v/>
      </c>
    </row>
    <row r="16" customFormat="false" ht="15" hidden="false" customHeight="false" outlineLevel="0" collapsed="false">
      <c r="A16" s="0" t="n">
        <v>115</v>
      </c>
      <c r="B16" s="0" t="n">
        <v>2</v>
      </c>
      <c r="C16" s="2" t="n">
        <v>112</v>
      </c>
      <c r="D16" s="0" t="n">
        <v>111</v>
      </c>
      <c r="E16" s="0" t="n">
        <f aca="false">VLOOKUP(C16,$A:$G,7,0)</f>
        <v>7</v>
      </c>
      <c r="F16" s="0" t="n">
        <f aca="false">VLOOKUP(D16,$A:$G,7,0)</f>
        <v>19</v>
      </c>
      <c r="G16" s="0" t="n">
        <f aca="false">MAX(E16:F16) + B16</f>
        <v>21</v>
      </c>
      <c r="H16" s="0" t="n">
        <f aca="false">G16 - B16</f>
        <v>19</v>
      </c>
      <c r="O16" s="0" t="n">
        <v>19</v>
      </c>
      <c r="P16" s="0" t="n">
        <v>21</v>
      </c>
      <c r="Q16" s="0" t="str">
        <f aca="false">IF(AND(O16 &lt; 15, P16 &gt;= 15),1,"")</f>
        <v/>
      </c>
    </row>
    <row r="17" customFormat="false" ht="15" hidden="false" customHeight="false" outlineLevel="0" collapsed="false">
      <c r="A17" s="0" t="n">
        <v>116</v>
      </c>
      <c r="B17" s="0" t="n">
        <v>3</v>
      </c>
      <c r="C17" s="2" t="n">
        <v>105</v>
      </c>
      <c r="D17" s="0" t="s">
        <v>6</v>
      </c>
      <c r="E17" s="0" t="n">
        <f aca="false">VLOOKUP(C17,$A:$G,7,0)</f>
        <v>25</v>
      </c>
      <c r="F17" s="0" t="n">
        <f aca="false">VLOOKUP(D17,$A:$G,7,0)</f>
        <v>0</v>
      </c>
      <c r="G17" s="0" t="n">
        <f aca="false">MAX(E17:F17) + B17</f>
        <v>28</v>
      </c>
      <c r="H17" s="0" t="n">
        <f aca="false">G17 - B17</f>
        <v>25</v>
      </c>
      <c r="O17" s="0" t="n">
        <v>25</v>
      </c>
      <c r="P17" s="0" t="n">
        <v>28</v>
      </c>
      <c r="Q17" s="0" t="str">
        <f aca="false">IF(AND(O17 &lt; 15, P17 &gt;= 15),1,"")</f>
        <v/>
      </c>
    </row>
    <row r="18" customFormat="false" ht="15" hidden="false" customHeight="false" outlineLevel="0" collapsed="false">
      <c r="A18" s="0" t="n">
        <v>117</v>
      </c>
      <c r="B18" s="0" t="n">
        <v>6</v>
      </c>
      <c r="C18" s="2" t="n">
        <v>0</v>
      </c>
      <c r="D18" s="0" t="s">
        <v>6</v>
      </c>
      <c r="E18" s="0" t="n">
        <f aca="false">VLOOKUP(C18,$A:$G,7,0)</f>
        <v>0</v>
      </c>
      <c r="F18" s="0" t="n">
        <f aca="false">VLOOKUP(D18,$A:$G,7,0)</f>
        <v>0</v>
      </c>
      <c r="G18" s="0" t="n">
        <f aca="false">MAX(E18:F18) + B18</f>
        <v>6</v>
      </c>
      <c r="H18" s="0" t="n">
        <f aca="false">G18 - B18</f>
        <v>0</v>
      </c>
      <c r="O18" s="0" t="n">
        <v>0</v>
      </c>
      <c r="P18" s="0" t="n">
        <v>6</v>
      </c>
      <c r="Q18" s="0" t="str">
        <f aca="false">IF(AND(O18 &lt; 15, P18 &gt;= 15),1,"")</f>
        <v/>
      </c>
    </row>
    <row r="19" customFormat="false" ht="15" hidden="false" customHeight="false" outlineLevel="0" collapsed="false">
      <c r="A19" s="0" t="n">
        <v>118</v>
      </c>
      <c r="B19" s="0" t="n">
        <v>3</v>
      </c>
      <c r="C19" s="2" t="n">
        <v>106</v>
      </c>
      <c r="D19" s="0" t="s">
        <v>6</v>
      </c>
      <c r="E19" s="0" t="n">
        <f aca="false">VLOOKUP(C19,$A:$G,7,0)</f>
        <v>12</v>
      </c>
      <c r="F19" s="0" t="n">
        <f aca="false">VLOOKUP(D19,$A:$G,7,0)</f>
        <v>0</v>
      </c>
      <c r="G19" s="0" t="n">
        <f aca="false">MAX(E19:F19) + B19</f>
        <v>15</v>
      </c>
      <c r="H19" s="0" t="n">
        <f aca="false">G19 - B19</f>
        <v>12</v>
      </c>
      <c r="O19" s="0" t="n">
        <v>12</v>
      </c>
      <c r="P19" s="0" t="n">
        <v>15</v>
      </c>
      <c r="Q19" s="0" t="n">
        <f aca="false">IF(AND(O19 &lt; 15, P19 &gt;= 15),1,"")</f>
        <v>1</v>
      </c>
    </row>
    <row r="20" customFormat="false" ht="15" hidden="false" customHeight="false" outlineLevel="0" collapsed="false">
      <c r="A20" s="0" t="n">
        <v>119</v>
      </c>
      <c r="B20" s="0" t="n">
        <v>5</v>
      </c>
      <c r="C20" s="2" t="n">
        <v>101</v>
      </c>
      <c r="D20" s="0" t="n">
        <v>106</v>
      </c>
      <c r="E20" s="0" t="n">
        <f aca="false">VLOOKUP(C20,$A:$G,7,0)</f>
        <v>18</v>
      </c>
      <c r="F20" s="0" t="n">
        <f aca="false">VLOOKUP(D20,$A:$G,7,0)</f>
        <v>12</v>
      </c>
      <c r="G20" s="0" t="n">
        <f aca="false">MAX(E20:F20) + B20</f>
        <v>23</v>
      </c>
      <c r="H20" s="0" t="n">
        <f aca="false">G20 - B20</f>
        <v>18</v>
      </c>
      <c r="O20" s="0" t="n">
        <v>18</v>
      </c>
      <c r="P20" s="0" t="n">
        <v>23</v>
      </c>
      <c r="Q20" s="0" t="str">
        <f aca="false">IF(AND(O20 &lt; 15, P20 &gt;= 15),1,"")</f>
        <v/>
      </c>
    </row>
    <row r="21" customFormat="false" ht="15" hidden="false" customHeight="false" outlineLevel="0" collapsed="false">
      <c r="A21" s="0" t="n">
        <v>120</v>
      </c>
      <c r="B21" s="0" t="n">
        <v>1</v>
      </c>
      <c r="C21" s="2" t="n">
        <v>125</v>
      </c>
      <c r="D21" s="0" t="s">
        <v>6</v>
      </c>
      <c r="E21" s="0" t="n">
        <f aca="false">VLOOKUP(C21,$A:$G,7,0)</f>
        <v>21</v>
      </c>
      <c r="F21" s="0" t="n">
        <f aca="false">VLOOKUP(D21,$A:$G,7,0)</f>
        <v>0</v>
      </c>
      <c r="G21" s="0" t="n">
        <f aca="false">MAX(E21:F21) + B21</f>
        <v>22</v>
      </c>
      <c r="H21" s="0" t="n">
        <f aca="false">G21 - B21</f>
        <v>21</v>
      </c>
      <c r="O21" s="0" t="n">
        <v>21</v>
      </c>
      <c r="P21" s="0" t="n">
        <v>22</v>
      </c>
      <c r="Q21" s="0" t="str">
        <f aca="false">IF(AND(O21 &lt; 15, P21 &gt;= 15),1,"")</f>
        <v/>
      </c>
    </row>
    <row r="22" customFormat="false" ht="15" hidden="false" customHeight="false" outlineLevel="0" collapsed="false">
      <c r="A22" s="0" t="n">
        <v>121</v>
      </c>
      <c r="B22" s="0" t="n">
        <v>3</v>
      </c>
      <c r="C22" s="2" t="n">
        <v>125</v>
      </c>
      <c r="D22" s="0" t="n">
        <v>103</v>
      </c>
      <c r="E22" s="0" t="n">
        <f aca="false">VLOOKUP(C22,$A:$G,7,0)</f>
        <v>21</v>
      </c>
      <c r="F22" s="0" t="n">
        <f aca="false">VLOOKUP(D22,$A:$G,7,0)</f>
        <v>4</v>
      </c>
      <c r="G22" s="0" t="n">
        <f aca="false">MAX(E22:F22) + B22</f>
        <v>24</v>
      </c>
      <c r="H22" s="0" t="n">
        <f aca="false">G22 - B22</f>
        <v>21</v>
      </c>
      <c r="O22" s="0" t="n">
        <v>21</v>
      </c>
      <c r="P22" s="0" t="n">
        <v>24</v>
      </c>
      <c r="Q22" s="0" t="str">
        <f aca="false">IF(AND(O22 &lt; 15, P22 &gt;= 15),1,"")</f>
        <v/>
      </c>
    </row>
    <row r="23" customFormat="false" ht="15" hidden="false" customHeight="false" outlineLevel="0" collapsed="false">
      <c r="A23" s="0" t="n">
        <v>122</v>
      </c>
      <c r="B23" s="0" t="n">
        <v>1</v>
      </c>
      <c r="C23" s="2" t="n">
        <v>118</v>
      </c>
      <c r="D23" s="0" t="n">
        <v>113</v>
      </c>
      <c r="E23" s="0" t="n">
        <f aca="false">VLOOKUP(C23,$A:$G,7,0)</f>
        <v>15</v>
      </c>
      <c r="F23" s="0" t="n">
        <f aca="false">VLOOKUP(D23,$A:$G,7,0)</f>
        <v>4</v>
      </c>
      <c r="G23" s="0" t="n">
        <f aca="false">MAX(E23:F23) + B23</f>
        <v>16</v>
      </c>
      <c r="H23" s="0" t="n">
        <f aca="false">G23 - B23</f>
        <v>15</v>
      </c>
      <c r="O23" s="0" t="n">
        <v>15</v>
      </c>
      <c r="P23" s="0" t="n">
        <v>16</v>
      </c>
      <c r="Q23" s="0" t="str">
        <f aca="false">IF(AND(O23 &lt; 15, P23 &gt;= 15),1,"")</f>
        <v/>
      </c>
    </row>
    <row r="24" customFormat="false" ht="15" hidden="false" customHeight="false" outlineLevel="0" collapsed="false">
      <c r="A24" s="0" t="n">
        <v>123</v>
      </c>
      <c r="B24" s="0" t="n">
        <v>4</v>
      </c>
      <c r="C24" s="2" t="n">
        <v>121</v>
      </c>
      <c r="D24" s="0" t="n">
        <v>107</v>
      </c>
      <c r="E24" s="0" t="n">
        <f aca="false">VLOOKUP(C24,$A:$G,7,0)</f>
        <v>24</v>
      </c>
      <c r="F24" s="0" t="n">
        <f aca="false">VLOOKUP(D24,$A:$G,7,0)</f>
        <v>13</v>
      </c>
      <c r="G24" s="0" t="n">
        <f aca="false">MAX(E24:F24) + B24</f>
        <v>28</v>
      </c>
      <c r="H24" s="0" t="n">
        <f aca="false">G24 - B24</f>
        <v>24</v>
      </c>
      <c r="O24" s="0" t="n">
        <v>24</v>
      </c>
      <c r="P24" s="0" t="n">
        <v>28</v>
      </c>
      <c r="Q24" s="0" t="str">
        <f aca="false">IF(AND(O24 &lt; 15, P24 &gt;= 15),1,"")</f>
        <v/>
      </c>
    </row>
    <row r="25" customFormat="false" ht="15" hidden="false" customHeight="false" outlineLevel="0" collapsed="false">
      <c r="A25" s="0" t="n">
        <v>124</v>
      </c>
      <c r="B25" s="0" t="n">
        <v>6</v>
      </c>
      <c r="C25" s="2" t="n">
        <v>106</v>
      </c>
      <c r="D25" s="0" t="n">
        <v>113</v>
      </c>
      <c r="E25" s="0" t="n">
        <f aca="false">VLOOKUP(C25,$A:$G,7,0)</f>
        <v>12</v>
      </c>
      <c r="F25" s="0" t="n">
        <f aca="false">VLOOKUP(D25,$A:$G,7,0)</f>
        <v>4</v>
      </c>
      <c r="G25" s="0" t="n">
        <f aca="false">MAX(E25:F25) + B25</f>
        <v>18</v>
      </c>
      <c r="H25" s="0" t="n">
        <f aca="false">G25 - B25</f>
        <v>12</v>
      </c>
      <c r="O25" s="0" t="n">
        <v>12</v>
      </c>
      <c r="P25" s="0" t="n">
        <v>18</v>
      </c>
      <c r="Q25" s="0" t="n">
        <f aca="false">IF(AND(O25 &lt; 15, P25 &gt;= 15),1,"")</f>
        <v>1</v>
      </c>
    </row>
    <row r="26" customFormat="false" ht="15" hidden="false" customHeight="false" outlineLevel="0" collapsed="false">
      <c r="A26" s="0" t="n">
        <v>125</v>
      </c>
      <c r="B26" s="0" t="n">
        <v>6</v>
      </c>
      <c r="C26" s="2" t="n">
        <v>118</v>
      </c>
      <c r="D26" s="0" t="s">
        <v>6</v>
      </c>
      <c r="E26" s="0" t="n">
        <f aca="false">VLOOKUP(C26,$A:$G,7,0)</f>
        <v>15</v>
      </c>
      <c r="F26" s="0" t="n">
        <f aca="false">VLOOKUP(D26,$A:$G,7,0)</f>
        <v>0</v>
      </c>
      <c r="G26" s="0" t="n">
        <f aca="false">MAX(E26:F26) + B26</f>
        <v>21</v>
      </c>
      <c r="H26" s="0" t="n">
        <f aca="false">G26 - B26</f>
        <v>15</v>
      </c>
      <c r="O26" s="0" t="n">
        <v>15</v>
      </c>
      <c r="P26" s="0" t="n">
        <v>21</v>
      </c>
      <c r="Q26" s="0" t="str">
        <f aca="false">IF(AND(O26 &lt; 15, P26 &gt;= 15),1,"")</f>
        <v/>
      </c>
    </row>
    <row r="27" customFormat="false" ht="15" hidden="false" customHeight="false" outlineLevel="0" collapsed="false">
      <c r="A27" s="0" t="n">
        <v>0</v>
      </c>
      <c r="G27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LibreOffice/25.8.2.2$Windows_X86_64 LibreOffice_project/d401f2107ccab8f924a8e2df40f573aab7605b6f</Application>
  <AppVersion>15.0000</AppVersion>
  <Company>FIPI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2025-01-15T10:27:21Z</dcterms:created>
  <dc:creator>minf</dc:creator>
  <dc:description/>
  <dc:language>ru-RU</dc:language>
  <cp:lastModifiedBy/>
  <dcterms:modified xsi:type="dcterms:W3CDTF">2025-11-02T22:29:55Z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